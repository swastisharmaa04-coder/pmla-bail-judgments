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9c4ab6bc9a3400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 Me" sheetId="1" r:id="Rf11c3e3c04a8417a"/>
    <x:sheet xmlns:r="http://schemas.openxmlformats.org/officeDocument/2006/relationships" name="Team" sheetId="2" r:id="Rd03b47f3027d4aaf"/>
    <x:sheet xmlns:r="http://schemas.openxmlformats.org/officeDocument/2006/relationships" name="Data" sheetId="3" r:id="R781475fe9d764c1c"/>
    <x:sheet xmlns:r="http://schemas.openxmlformats.org/officeDocument/2006/relationships" name="Chart counts" sheetId="4" r:id="R8d7c8f3b28974c5f"/>
    <x:sheet xmlns:r="http://schemas.openxmlformats.org/officeDocument/2006/relationships" name="Vocabularies" sheetId="5" r:id="R209e2d8ee35c4f72"/>
  </x:sheets>
</x:workbook>
</file>

<file path=xl/sharedStrings.xml><?xml version="1.0" encoding="utf-8"?>
<x:sst xmlns:x="http://schemas.openxmlformats.org/spreadsheetml/2006/main">
  <x:si>
    <x:t xml:space="preserve">Judgment Content Analysis · Dataset template</x:t>
  </x:si>
  <x:si>
    <x:t xml:space="preserve">How to use this file</x:t>
  </x:si>
  <x:si>
    <x:t xml:space="preserve">1. Fill the Team sheet.</x:t>
  </x:si>
  <x:si>
    <x:t xml:space="preserve">2. In the Data sheet, enter one row per judgment starting at row 6. Row 5 is a made-up example showing the format; leave it as it is.</x:t>
  </x:si>
  <x:si>
    <x:t xml:space="preserve">3. Pale yellow cells are yours to fill. Dropdown columns accept only the listed values (see the Vocabularies sheet). Do not add, delete or reorder columns.</x:t>
  </x:si>
  <x:si>
    <x:t xml:space="preserve">4. When done, rename this file data.xlsx. Also save the Data sheet as data.csv (File &gt; Save As &gt; CSV). Upload both to your GitHub repository.</x:t>
  </x:si>
  <x:si>
    <x:t xml:space="preserve">5. Read the Option 2 Guide for the column meanings, the charts, GitHub steps and the README.</x:t>
  </x:si>
  <x:si>
    <x:t xml:space="preserve">Team information</x:t>
  </x:si>
  <x:si>
    <x:t xml:space="preserve">Topic</x:t>
  </x:si>
  <x:si>
    <x:t xml:space="preserve">Bail under PMLA: Section 45, personal liberty, and judicial evolution</x:t>
  </x:si>
  <x:si>
    <x:t xml:space="preserve">Court</x:t>
  </x:si>
  <x:si>
    <x:t xml:space="preserve">Supreme Court of India</x:t>
  </x:si>
  <x:si>
    <x:t xml:space="preserve">Team name</x:t>
  </x:si>
  <x:si>
    <x:t xml:space="preserve">Doctrinal Evolution / PMLA Bail</x:t>
  </x:si>
  <x:si>
    <x:t xml:space="preserve">GitHub repository link</x:t>
  </x:si>
  <x:si>
    <x:t xml:space="preserve">Member 1 · name and section</x:t>
  </x:si>
  <x:si>
    <x:t xml:space="preserve">Swasti Sharma — D</x:t>
  </x:si>
  <x:si>
    <x:t xml:space="preserve">Member 2 · name and section</x:t>
  </x:si>
  <x:si>
    <x:t xml:space="preserve">Ishtartha H. R. — D</x:t>
  </x:si>
  <x:si>
    <x:t xml:space="preserve">Member 3 · name and section (if any)</x:t>
  </x:si>
  <x:si>
    <x:t xml:space="preserve">Palak Manik — D</x:t>
  </x:si>
  <x:si>
    <x:t xml:space="preserve">Member 4 · name and section (if any)</x:t>
  </x:si>
  <x:si>
    <x:t xml:space="preserve">Date completed (DD-MM-YYYY)</x:t>
  </x:si>
  <x:si>
    <x:t xml:space="preserve">Data · one row per judgment</x:t>
  </x:si>
  <x:si>
    <x:t xml:space="preserve">Row 5 is a made-up example. Your judgments start at row 6. Enter 10 to 20 judgments decided between 01-09-2021 and 31-08-2026. See the Option 2 Guide, section 4.</x:t>
  </x:si>
  <x:si>
    <x:t xml:space="preserve">#</x:t>
  </x:si>
  <x:si>
    <x:t xml:space="preserve">Case name</x:t>
  </x:si>
  <x:si>
    <x:t xml:space="preserve">Citation or case number</x:t>
  </x:si>
  <x:si>
    <x:t xml:space="preserve">Date of decision (DD-MM-YYYY)</x:t>
  </x:si>
  <x:si>
    <x:t xml:space="preserve">Year</x:t>
  </x:si>
  <x:si>
    <x:t xml:space="preserve">Bench strength</x:t>
  </x:si>
  <x:si>
    <x:t xml:space="preserve">Type of case</x:t>
  </x:si>
  <x:si>
    <x:t xml:space="preserve">Who brought the case</x:t>
  </x:si>
  <x:si>
    <x:t xml:space="preserve">Outcome</x:t>
  </x:si>
  <x:si>
    <x:t xml:space="preserve">Who won</x:t>
  </x:si>
  <x:si>
    <x:t xml:space="preserve">Main provision</x:t>
  </x:si>
  <x:si>
    <x:t xml:space="preserve">Issue in one line</x:t>
  </x:si>
  <x:si>
    <x:t xml:space="preserve">Holding in one line</x:t>
  </x:si>
  <x:si>
    <x:t xml:space="preserve">Precedent chiefly relied on</x:t>
  </x:si>
  <x:si>
    <x:t xml:space="preserve">Source link (official copy)</x:t>
  </x:si>
  <x:si>
    <x:t xml:space="preserve">Coded by</x:t>
  </x:si>
  <x:si>
    <x:t xml:space="preserve">EX</x:t>
  </x:si>
  <x:si>
    <x:t xml:space="preserve">Example Petitioner v. State of Maharashtra (made-up)</x:t>
  </x:si>
  <x:si>
    <x:t xml:space="preserve">2024 INSC 000 (made-up)</x:t>
  </x:si>
  <x:si>
    <x:t xml:space="preserve">15-03-2024</x:t>
  </x:si>
  <x:si>
    <x:t xml:space="preserve">Criminal appeal</x:t>
  </x:si>
  <x:si>
    <x:t xml:space="preserve">Individual</x:t>
  </x:si>
  <x:si>
    <x:t xml:space="preserve">Allowed</x:t>
  </x:si>
  <x:si>
    <x:t xml:space="preserve">s 438 CrPC</x:t>
  </x:si>
  <x:si>
    <x:t xml:space="preserve">Whether anticipatory bail can be limited to a fixed period.</x:t>
  </x:si>
  <x:si>
    <x:t xml:space="preserve">Bail granted; protection ordinarily lasts till the end of trial.</x:t>
  </x:si>
  <x:si>
    <x:t xml:space="preserve">Sushila Aggarwal v. State (NCT of Delhi)</x:t>
  </x:si>
  <x:si>
    <x:t xml:space="preserve">https://www.sci.gov.in/judgements/ (made-up)</x:t>
  </x:si>
  <x:si>
    <x:t xml:space="preserve">A. Deshmukh</x:t>
  </x:si>
  <x:si>
    <x:t xml:space="preserve">2023 INSC 956</x:t>
  </x:si>
  <x:si>
    <x:t xml:space="preserve">30-10-2023</x:t>
  </x:si>
  <x:si>
    <x:t xml:space="preserve">Dismissed</x:t>
  </x:si>
  <x:si>
    <x:t xml:space="preserve">State or public body</x:t>
  </x:si>
  <x:si>
    <x:t xml:space="preserve">Whether bail should be granted in linked corruption and PMLA cases given the evidence and likely trial length.</x:t>
  </x:si>
  <x:si>
    <x:t xml:space="preserve">Bail refused on the record then available; the Court preserved a fresh application if the trial failed to advance promptly.</x:t>
  </x:si>
  <x:si>
    <x:t xml:space="preserve">Vijay Madanlal Choudhary v. Union of India</x:t>
  </x:si>
  <x:si>
    <x:t xml:space="preserve">https://api.sci.gov.in/supremecourt/2023/26668/26668_2023_3_1501_47839_Judgement_30-Oct-2023.pdf</x:t>
  </x:si>
  <x:si>
    <x:t xml:space="preserve">A. SWASTI SHARMA </x:t>
  </x:si>
  <x:si>
    <x:t xml:space="preserve">Satyendar Kumar Jain v. Directorate of Enforcement</x:t>
  </x:si>
  <x:si>
    <x:t xml:space="preserve">2024 INSC 217</x:t>
  </x:si>
  <x:si>
    <x:t xml:space="preserve">18-03-2024</x:t>
  </x:si>
  <x:si>
    <x:t xml:space="preserve">Whether the accused met Section 45's twin bail requirements in alleged laundering through corporate entities.</x:t>
  </x:si>
  <x:si>
    <x:t xml:space="preserve">The appeals failed because the materials did not satisfy the statutory bail conditions; speedy-trial rights were nevertheless affirmed.</x:t>
  </x:si>
  <x:si>
    <x:t xml:space="preserve">https://api.sci.gov.in/supremecourt/2023/20478/20478_2023_15_1501_51515_Judgement_18-Mar-2024.pdf</x:t>
  </x:si>
  <x:si>
    <x:t xml:space="preserve">Tarsem Lal v. Directorate of Enforcement, Jalandhar Zonal Office</x:t>
  </x:si>
  <x:si>
    <x:t xml:space="preserve">2024 INSC 434</x:t>
  </x:si>
  <x:si>
    <x:t xml:space="preserve">16-05-2024</x:t>
  </x:si>
  <x:si>
    <x:t xml:space="preserve">Satender Kumar Antil v. Central Bureau of Investigation</x:t>
  </x:si>
  <x:si>
    <x:t xml:space="preserve">https://api.sci.gov.in/supremecourt/2023/53731/53731_2023_7_1502_53220_Judgement_16-May-2024.pdf</x:t>
  </x:si>
  <x:si>
    <x:t xml:space="preserve">Manish Sisodia v. Directorate of Enforcement</x:t>
  </x:si>
  <x:si>
    <x:t xml:space="preserve">2024 INSC 595</x:t>
  </x:si>
  <x:si>
    <x:t xml:space="preserve">09-08-2024</x:t>
  </x:si>
  <x:si>
    <x:t xml:space="preserve">s 45 PMLA; Art 21</x:t>
  </x:si>
  <x:si>
    <x:t xml:space="preserve">Whether continued custody without a timely trial justified granting bail on renewed applications.</x:t>
  </x:si>
  <x:si>
    <x:t xml:space="preserve">Both bail appeals were allowed because prolonged pretrial detention and slow progress outweighed continued incarceration on the facts.</x:t>
  </x:si>
  <x:si>
    <x:t xml:space="preserve">Manish Sisodia v. Central Bureau of Investigation (2023)</x:t>
  </x:si>
  <x:si>
    <x:t xml:space="preserve">https://api.sci.gov.in/supremecourt/2024/29266/29266_2024_3_1501_54588_Judgement_09-Aug-2024.pdf</x:t>
  </x:si>
  <x:si>
    <x:t xml:space="preserve">Kalvakuntla Kavitha v. Directorate of Enforcement</x:t>
  </x:si>
  <x:si>
    <x:t xml:space="preserve">2024 INSC 632</x:t>
  </x:si>
  <x:si>
    <x:t xml:space="preserve">27-08-2024</x:t>
  </x:si>
  <x:si>
    <x:t xml:space="preserve">proviso to s 45(1) PMLA</x:t>
  </x:si>
  <x:si>
    <x:t xml:space="preserve">Whether a woman accused under the PMLA could be denied the statutory proviso solely because of her education or status.</x:t>
  </x:si>
  <x:si>
    <x:t xml:space="preserve">Bail was granted; the proviso for women could not be narrowed merely by describing the applicant as educated or influential.</x:t>
  </x:si>
  <x:si>
    <x:t xml:space="preserve">Saumya Chaurasia v. Directorate of Enforcement</x:t>
  </x:si>
  <x:si>
    <x:t xml:space="preserve">https://api.sci.gov.in/supremecourt/2024/35524/35524_2024_3_19_55112_Judgement_27-Aug-2024.pdf</x:t>
  </x:si>
  <x:si>
    <x:t xml:space="preserve">B. ISHTARTHA H.R</x:t>
  </x:si>
  <x:si>
    <x:t xml:space="preserve">2024 INSC 637</x:t>
  </x:si>
  <x:si>
    <x:t xml:space="preserve">28-08-2024</x:t>
  </x:si>
  <x:si>
    <x:t xml:space="preserve">https://api.sci.gov.in/supremecourt/2024/15608/15608_2024_3_1501_55095_Judgement_28-Aug-2024.pdf</x:t>
  </x:si>
  <x:si>
    <x:t xml:space="preserve">V. Senthil Balaji v. Deputy Director, Directorate of Enforcement</x:t>
  </x:si>
  <x:si>
    <x:t xml:space="preserve">2024 INSC 739</x:t>
  </x:si>
  <x:si>
    <x:t xml:space="preserve">26-09-2024</x:t>
  </x:si>
  <x:si>
    <x:t xml:space="preserve">Whether a lengthy likely trial and continuing incarceration warranted bail notwithstanding PMLA restrictions.</x:t>
  </x:si>
  <x:si>
    <x:t xml:space="preserve">The applicant was released on bail in view of extended custody and the absence of a realistic prospect of speedy completion of trial.</x:t>
  </x:si>
  <x:si>
    <x:t xml:space="preserve">Manish Sisodia v. Directorate of Enforcement (2024)</x:t>
  </x:si>
  <x:si>
    <x:t xml:space="preserve">https://api.sci.gov.in/supremecourt/2024/12721/12721_2024_6_1501_56009_Judgement_26-Sep-2024.pdf</x:t>
  </x:si>
  <x:si>
    <x:t xml:space="preserve">Directorate of Enforcement v. Subhash Sharma</x:t>
  </x:si>
  <x:si>
    <x:t xml:space="preserve">2025 INSC 141</x:t>
  </x:si>
  <x:si>
    <x:t xml:space="preserve">21-01-2025</x:t>
  </x:si>
  <x:si>
    <x:t xml:space="preserve">https://api.sci.gov.in/supremecourt/2022/42431/42431_2022_5_14_58599_Judgement_21-Jan-2025.pdf</x:t>
  </x:si>
  <x:si>
    <x:t xml:space="preserve">Union of India through Assistant Director v. Kanhaiya Prasad</x:t>
  </x:si>
  <x:si>
    <x:t xml:space="preserve">2025 INSC 210</x:t>
  </x:si>
  <x:si>
    <x:t xml:space="preserve">13-02-2025</x:t>
  </x:si>
  <x:si>
    <x:t xml:space="preserve">s 45 PMLA</x:t>
  </x:si>
  <x:si>
    <x:t xml:space="preserve">Whether the High Court could release a PMLA accused without addressing Section 45's mandatory conditions.</x:t>
  </x:si>
  <x:si>
    <x:t xml:space="preserve">https://api.sci.gov.in/supremecourt/2024/22780/22780_2024_9_1501_59321_Judgement_13-Feb-2025.pdf</x:t>
  </x:si>
  <x:si>
    <x:t xml:space="preserve">C. PALAK MANIK </x:t>
  </x:si>
  <x:si>
    <x:t xml:space="preserve">Udhaw Singh v. Enforcement Directorate</x:t>
  </x:si>
  <x:si>
    <x:t xml:space="preserve">2025 INSC 247</x:t>
  </x:si>
  <x:si>
    <x:t xml:space="preserve">17-02-2025</x:t>
  </x:si>
  <x:si>
    <x:t xml:space="preserve">Whether lack of trial progress after prolonged custody outweighed objections under Section 45.</x:t>
  </x:si>
  <x:si>
    <x:t xml:space="preserve">https://api.sci.gov.in/supremecourt/2024/56374/56374_2024_4_6_59497_Judgement_17-Feb-2025.pdf</x:t>
  </x:si>
  <x:si>
    <x:t xml:space="preserve">Mahesh Joshi v. Directorate of Enforcement</x:t>
  </x:si>
  <x:si>
    <x:t xml:space="preserve">2025 INSC 1377</x:t>
  </x:si>
  <x:si>
    <x:t xml:space="preserve">03-12-2025</x:t>
  </x:si>
  <x:si>
    <x:t xml:space="preserve">https://api.sci.gov.in/supremecourt/2025/50042/50042_2025_8_1501_66469_FinalOrder_03-Dec-2025.pdf</x:t>
  </x:si>
  <x:si>
    <x:t xml:space="preserve">Arvind Dham v. Directorate of Enforcement</x:t>
  </x:si>
  <x:si>
    <x:t xml:space="preserve">2026 INSC 12</x:t>
  </x:si>
  <x:si>
    <x:t xml:space="preserve">06-01-2026</x:t>
  </x:si>
  <x:si>
    <x:t xml:space="preserve">Whether lengthy custody and an uncommenced, complex trial permitted release in a financial-crime prosecution.</x:t>
  </x:si>
  <x:si>
    <x:t xml:space="preserve">https://api.sci.gov.in/supremecourt/2025/55164/55164_2025_6_1502_67227_Judgement_06-Jan-2026.pdf</x:t>
  </x:si>
  <x:si>
    <x:t xml:space="preserve">Counts for your charts (these update automatically from the Data sheet)</x:t>
  </x:si>
  <x:si>
    <x:t xml:space="preserve">Select a table below, then Insert &gt; Chart in Excel or Google Sheets. Save each chart as PNG.</x:t>
  </x:si>
  <x:si>
    <x:t xml:space="preserve">Judgments</x:t>
  </x:si>
  <x:si>
    <x:t xml:space="preserve">Partly allowed</x:t>
  </x:si>
  <x:si>
    <x:t xml:space="preserve">Other</x:t>
  </x:si>
  <x:si>
    <x:t xml:space="preserve">Company</x:t>
  </x:si>
  <x:si>
    <x:t xml:space="preserve">Association or NGO</x:t>
  </x:si>
  <x:si>
    <x:t xml:space="preserve">Mixed or unclear</x:t>
  </x:si>
  <x:si>
    <x:t xml:space="preserve">Writ petition</x:t>
  </x:si>
  <x:si>
    <x:t xml:space="preserve">Civil appeal</x:t>
  </x:si>
  <x:si>
    <x:t xml:space="preserve">SLP</x:t>
  </x:si>
  <x:si>
    <x:t xml:space="preserve">Lists used by the dropdowns (do not edit)</x:t>
  </x:si>
</x:sst>
</file>

<file path=xl/styles.xml><?xml version="1.0" encoding="utf-8"?>
<x:styleSheet xmlns:x="http://schemas.openxmlformats.org/spreadsheetml/2006/main">
  <x:fonts count="10">
    <x:font>
      <x:sz val="11"/>
      <x:color theme="1"/>
      <x:name val="Calibri"/>
    </x:font>
    <x:font>
      <x:b/>
      <x:sz val="16"/>
      <x:color rgb="FF1B2431"/>
      <x:name val="Arial"/>
    </x:font>
    <x:font>
      <x:sz val="9"/>
      <x:name val="Arial"/>
    </x:font>
    <x:font>
      <x:b/>
      <x:sz val="12"/>
      <x:color rgb="FF1B2431"/>
      <x:name val="Arial"/>
    </x:font>
    <x:font>
      <x:sz val="10"/>
      <x:name val="Arial"/>
    </x:font>
    <x:font>
      <x:b/>
      <x:sz val="14"/>
      <x:color rgb="FF1B2431"/>
      <x:name val="Arial"/>
    </x:font>
    <x:font>
      <x:b/>
      <x:sz val="10"/>
      <x:name val="Arial"/>
    </x:font>
    <x:font>
      <x:b/>
      <x:sz val="9"/>
      <x:color rgb="FFFFFFFF"/>
      <x:name val="Arial"/>
    </x:font>
    <x:font>
      <x:sz val="9"/>
      <x:color rgb="FF5A6472"/>
      <x:name val="Arial"/>
    </x:font>
    <x:font>
      <x:sz val="10"/>
      <x:name val="Arial"/>
    </x:font>
  </x:fonts>
  <x:fills count="6">
    <x:fill>
      <x:patternFill patternType="none"/>
    </x:fill>
    <x:fill>
      <x:patternFill patternType="gray125"/>
    </x:fill>
    <x:fill>
      <x:patternFill patternType="solid">
        <x:fgColor rgb="FFFFF7CC"/>
      </x:patternFill>
    </x:fill>
    <x:fill>
      <x:patternFill patternType="solid">
        <x:fgColor rgb="FF1B2431"/>
      </x:patternFill>
    </x:fill>
    <x:fill>
      <x:patternFill patternType="solid">
        <x:fgColor rgb="FFF2F2F0"/>
      </x:patternFill>
    </x:fill>
    <x:fill>
      <x:patternFill patternType="solid">
        <x:fgColor rgb="FFFEF3C7"/>
      </x:patternFill>
    </x:fill>
  </x:fills>
  <x:borders count="4">
    <x:border/>
    <x:border>
      <x:left style="thin">
        <x:color rgb="FFD0D4D9"/>
      </x:left>
      <x:right style="thin">
        <x:color rgb="FFD0D4D9"/>
      </x:right>
      <x:top style="thin">
        <x:color rgb="FFD0D4D9"/>
      </x:top>
      <x:bottom style="thin">
        <x:color rgb="FFD0D4D9"/>
      </x:bottom>
    </x:border>
    <x:border/>
    <x:border>
      <x:left style="thin">
        <x:color rgb="FFD0D4D9"/>
      </x:left>
      <x:right style="thin">
        <x:color rgb="FFD0D4D9"/>
      </x:right>
      <x:top style="thin">
        <x:color rgb="FFD0D4D9"/>
      </x:top>
      <x:bottom style="thin">
        <x:color rgb="FFD0D4D9"/>
      </x:bottom>
    </x:border>
  </x:borders>
  <x:cellStyleXfs count="1">
    <x:xf numFmtId="0" fontId="0" fillId="0" borderId="0"/>
  </x:cellStyleXfs>
  <x:cellXfs count="36">
    <x:xf numFmtId="0" fontId="0" fillId="0" borderId="0" xfId="0"/>
    <x:xf numFmtId="0" fontId="1" fillId="0" borderId="0" xfId="0" applyFont="1" applyAlignment="1">
      <x:alignment vertical="top" wrapText="1"/>
    </x:xf>
    <x:xf numFmtId="0" fontId="2" fillId="0" borderId="0" xfId="0" applyFont="1" applyAlignment="1">
      <x:alignment vertical="top" wrapText="1"/>
    </x:xf>
    <x:xf numFmtId="0" fontId="3" fillId="0" borderId="0" xfId="0" applyFont="1" applyAlignment="1">
      <x:alignment vertical="top" wrapText="1"/>
    </x:xf>
    <x:xf numFmtId="0" fontId="4" fillId="0" borderId="0" xfId="0" applyFont="1" applyAlignment="1">
      <x:alignment vertical="top" wrapText="1"/>
    </x:xf>
    <x:xf numFmtId="0" fontId="5" fillId="0" borderId="0" xfId="0" applyFont="1"/>
    <x:xf numFmtId="0" fontId="6" fillId="0" borderId="0" xfId="0" applyFont="1"/>
    <x:xf numFmtId="0" fontId="4" fillId="2" borderId="1" xfId="0" applyFont="1" applyFill="1" applyBorder="1"/>
    <x:xf numFmtId="0" fontId="8" fillId="0" borderId="0" xfId="0" applyFont="1"/>
    <x:xf numFmtId="0" fontId="7" fillId="3" borderId="0" xfId="0" applyFont="1" applyFill="1" applyAlignment="1">
      <x:alignment vertical="top" wrapText="1"/>
    </x:xf>
    <x:xf numFmtId="0" fontId="8" fillId="4" borderId="1" xfId="0" applyFont="1" applyFill="1" applyBorder="1" applyAlignment="1">
      <x:alignment vertical="top" wrapText="1"/>
    </x:xf>
    <x:xf numFmtId="0" fontId="2" fillId="0" borderId="0" xfId="0" applyFont="1"/>
    <x:xf numFmtId="0" fontId="2" fillId="2" borderId="1" xfId="0" applyFont="1" applyFill="1" applyBorder="1" applyAlignment="1">
      <x:alignment vertical="top" wrapText="1"/>
    </x:xf>
    <x:xf numFmtId="0" fontId="3" fillId="0" borderId="0" xfId="0" applyFont="1"/>
    <x:xf numFmtId="0" fontId="7" fillId="3" borderId="0" xfId="0" applyFont="1" applyFill="1"/>
    <x:xf numFmtId="0" fontId="9" fillId="0" borderId="0" xfId="0" applyFont="1" applyAlignment="1">
      <x:alignment vertical="top" wrapText="1"/>
    </x:xf>
    <x:xf numFmtId="0" fontId="2" fillId="5" borderId="1" xfId="0" applyFont="1" applyFill="1" applyBorder="1" applyAlignment="1">
      <x:alignment vertical="top" wrapText="1"/>
    </x:xf>
    <x:xf numFmtId="14" fontId="4" fillId="2" borderId="1" xfId="0" applyNumberFormat="1" applyFont="1" applyFill="1" applyBorder="1"/>
    <x:xf numFmtId="0" fontId="0" fillId="0" borderId="2" xfId="0" applyNumberFormat="1" applyFont="1" applyFill="1" applyBorder="1"/>
    <x:xf numFmtId="0" fontId="1" fillId="0" borderId="2" xfId="0" applyNumberFormat="1" applyFont="1" applyFill="1" applyBorder="1" applyAlignment="1">
      <x:alignment vertical="top" wrapText="1"/>
    </x:xf>
    <x:xf numFmtId="0" fontId="2" fillId="0" borderId="2" xfId="0" applyNumberFormat="1" applyFont="1" applyFill="1" applyBorder="1" applyAlignment="1">
      <x:alignment vertical="top" wrapText="1"/>
    </x:xf>
    <x:xf numFmtId="0" fontId="3" fillId="0" borderId="2" xfId="0" applyNumberFormat="1" applyFont="1" applyFill="1" applyBorder="1" applyAlignment="1">
      <x:alignment vertical="top" wrapText="1"/>
    </x:xf>
    <x:xf numFmtId="0" fontId="4" fillId="0" borderId="2" xfId="0" applyNumberFormat="1" applyFont="1" applyFill="1" applyBorder="1" applyAlignment="1">
      <x:alignment vertical="top" wrapText="1"/>
    </x:xf>
    <x:xf numFmtId="0" fontId="5" fillId="0" borderId="2" xfId="0" applyNumberFormat="1" applyFont="1" applyFill="1" applyBorder="1"/>
    <x:xf numFmtId="0" fontId="6" fillId="0" borderId="2" xfId="0" applyNumberFormat="1" applyFont="1" applyFill="1" applyBorder="1"/>
    <x:xf numFmtId="0" fontId="4" fillId="2" borderId="3" xfId="0" applyNumberFormat="1" applyFont="1" applyFill="1" applyBorder="1"/>
    <x:xf numFmtId="0" fontId="8" fillId="0" borderId="2" xfId="0" applyNumberFormat="1" applyFont="1" applyFill="1" applyBorder="1"/>
    <x:xf numFmtId="0" fontId="7" fillId="3" borderId="2" xfId="0" applyNumberFormat="1" applyFont="1" applyFill="1" applyBorder="1" applyAlignment="1">
      <x:alignment vertical="top" wrapText="1"/>
    </x:xf>
    <x:xf numFmtId="0" fontId="8" fillId="4" borderId="3" xfId="0" applyNumberFormat="1" applyFont="1" applyFill="1" applyBorder="1" applyAlignment="1">
      <x:alignment vertical="top" wrapText="1"/>
    </x:xf>
    <x:xf numFmtId="0" fontId="2" fillId="0" borderId="2" xfId="0" applyNumberFormat="1" applyFont="1" applyFill="1" applyBorder="1"/>
    <x:xf numFmtId="0" fontId="2" fillId="2" borderId="3" xfId="0" applyNumberFormat="1" applyFont="1" applyFill="1" applyBorder="1" applyAlignment="1">
      <x:alignment vertical="top" wrapText="1"/>
    </x:xf>
    <x:xf numFmtId="0" fontId="3" fillId="0" borderId="2" xfId="0" applyNumberFormat="1" applyFont="1" applyFill="1" applyBorder="1"/>
    <x:xf numFmtId="0" fontId="7" fillId="3" borderId="2" xfId="0" applyNumberFormat="1" applyFont="1" applyFill="1" applyBorder="1"/>
    <x:xf numFmtId="0" fontId="2" fillId="5" borderId="3" xfId="0" applyNumberFormat="1" applyFont="1" applyFill="1" applyBorder="1" applyAlignment="1">
      <x:alignment vertical="top" wrapText="1"/>
    </x:xf>
    <x:xf numFmtId="14" fontId="4" fillId="2" borderId="3" xfId="0" applyNumberFormat="1" applyFont="1" applyFill="1" applyBorder="1"/>
    <x:xf numFmtId="0" fontId="2" fillId="2" borderId="1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a28393c58544684" /><Relationship Type="http://schemas.openxmlformats.org/officeDocument/2006/relationships/theme" Target="/xl/theme/theme1.xml" Id="Rcbb24f112e5b4433" /><Relationship Type="http://schemas.openxmlformats.org/officeDocument/2006/relationships/sharedStrings" Target="/xl/sharedStrings.xml" Id="R0f41ff7239844cfa" /><Relationship Type="http://schemas.openxmlformats.org/officeDocument/2006/relationships/worksheet" Target="/xl/worksheets/sheet1.xml" Id="Rf11c3e3c04a8417a" /><Relationship Type="http://schemas.openxmlformats.org/officeDocument/2006/relationships/worksheet" Target="/xl/worksheets/sheet2.xml" Id="Rd03b47f3027d4aaf" /><Relationship Type="http://schemas.openxmlformats.org/officeDocument/2006/relationships/worksheet" Target="/xl/worksheets/sheet3.xml" Id="R781475fe9d764c1c" /><Relationship Type="http://schemas.openxmlformats.org/officeDocument/2006/relationships/worksheet" Target="/xl/worksheets/sheet4.xml" Id="R8d7c8f3b28974c5f" /><Relationship Type="http://schemas.openxmlformats.org/officeDocument/2006/relationships/worksheet" Target="/xl/worksheets/sheet5.xml" Id="R209e2d8ee35c4f7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10" defaultColWidth="8.83203125" defaultRowHeight="15"/>
  <x:cols>
    <x:col min="1" max="1" width="3" customWidth="1"/>
    <x:col min="2" max="2" width="105" customWidth="1"/>
  </x:cols>
  <x:sheetData>
    <x:row r="2" ht="48" customHeight="1">
      <x:c r="B2" s="1" t="s">
        <x:v>0</x:v>
      </x:c>
    </x:row>
    <x:row r="3" ht="21.25" customHeight="1">
      <x:c r="B3" s="2"/>
    </x:row>
    <x:row r="4" ht="24" customHeight="1">
      <x:c r="B4" s="3" t="s">
        <x:v>1</x:v>
      </x:c>
    </x:row>
    <x:row r="5" ht="21.25" customHeight="1">
      <x:c r="B5" s="4" t="s">
        <x:v>2</x:v>
      </x:c>
    </x:row>
    <x:row r="6" ht="40" customHeight="1">
      <x:c r="B6" s="15" t="s">
        <x:v>3</x:v>
      </x:c>
    </x:row>
    <x:row r="7" ht="40" customHeight="1">
      <x:c r="B7" s="4" t="s">
        <x:v>4</x:v>
      </x:c>
    </x:row>
    <x:row r="8" ht="40" customHeight="1">
      <x:c r="B8" s="15" t="s">
        <x:v>5</x:v>
      </x:c>
    </x:row>
    <x:row r="9" ht="21.25" customHeight="1">
      <x:c r="B9" s="4" t="s">
        <x:v>6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10" defaultColWidth="8.83203125" defaultRowHeight="15"/>
  <x:cols>
    <x:col min="1" max="1" width="3" customWidth="1"/>
    <x:col min="2" max="2" width="32" customWidth="1"/>
    <x:col min="3" max="3" width="50" customWidth="1"/>
  </x:cols>
  <x:sheetData>
    <x:row r="2" ht="18">
      <x:c r="B2" s="5" t="s">
        <x:v>7</x:v>
      </x:c>
    </x:row>
    <x:row r="4">
      <x:c r="B4" s="6" t="s">
        <x:v>8</x:v>
      </x:c>
      <x:c r="C4" s="7" t="s">
        <x:v>9</x:v>
      </x:c>
    </x:row>
    <x:row r="5">
      <x:c r="B5" s="6" t="s">
        <x:v>10</x:v>
      </x:c>
      <x:c r="C5" s="7" t="s">
        <x:v>11</x:v>
      </x:c>
    </x:row>
    <x:row r="6">
      <x:c r="B6" s="6" t="s">
        <x:v>12</x:v>
      </x:c>
      <x:c r="C6" s="7" t="s">
        <x:v>13</x:v>
      </x:c>
    </x:row>
    <x:row r="7">
      <x:c r="B7" s="6" t="s">
        <x:v>14</x:v>
      </x:c>
      <x:c r="C7" s="7" t="str">
        <x:v>https://github.com/swastisharmaa04-coder/pmla-bail-judgments</x:v>
      </x:c>
    </x:row>
    <x:row r="8">
      <x:c r="B8" s="6" t="s">
        <x:v>15</x:v>
      </x:c>
      <x:c r="C8" s="7" t="s">
        <x:v>16</x:v>
      </x:c>
    </x:row>
    <x:row r="9">
      <x:c r="B9" s="6" t="s">
        <x:v>17</x:v>
      </x:c>
      <x:c r="C9" s="7" t="s">
        <x:v>18</x:v>
      </x:c>
    </x:row>
    <x:row r="10">
      <x:c r="B10" s="6" t="s">
        <x:v>19</x:v>
      </x:c>
      <x:c r="C10" s="7" t="s">
        <x:v>20</x:v>
      </x:c>
    </x:row>
    <x:row r="11">
      <x:c r="B11" s="6" t="s">
        <x:v>21</x:v>
      </x:c>
      <x:c r="C11" s="7"/>
    </x:row>
    <x:row r="12">
      <x:c r="B12" s="6" t="s">
        <x:v>22</x:v>
      </x:c>
      <x:c r="C12" s="17">
        <x:v>46325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xSplit="2" ySplit="4" topLeftCell="C5" activePane="bottomRight" state="frozen"/>
    </x:sheetView>
  </x:sheetViews>
  <x:sheetFormatPr baseColWidth="10" defaultColWidth="8.83203125" defaultRowHeight="15"/>
  <x:cols>
    <x:col min="1" max="1" width="4" customWidth="1"/>
    <x:col min="2" max="2" width="33" customWidth="1"/>
    <x:col min="3" max="4" width="19" customWidth="1"/>
    <x:col min="5" max="5" width="7" customWidth="1"/>
    <x:col min="6" max="6" width="8" customWidth="1"/>
    <x:col min="7" max="7" width="16" customWidth="1"/>
    <x:col min="8" max="8" width="20" customWidth="1"/>
    <x:col min="9" max="9" width="14" customWidth="1"/>
    <x:col min="10" max="10" width="20" customWidth="1"/>
    <x:col min="11" max="11" width="24" customWidth="1"/>
    <x:col min="12" max="14" width="36" customWidth="1"/>
    <x:col min="15" max="15" width="44" customWidth="1"/>
    <x:col min="16" max="16" width="24" customWidth="1"/>
  </x:cols>
  <x:sheetData>
    <x:row r="1" ht="18">
      <x:c r="A1" s="5" t="s">
        <x:v>23</x:v>
      </x:c>
    </x:row>
    <x:row r="2">
      <x:c r="A2" s="8" t="s">
        <x:v>24</x:v>
      </x:c>
    </x:row>
    <x:row r="4" ht="36" customHeight="1">
      <x:c r="A4" s="9" t="s">
        <x:v>25</x:v>
      </x:c>
      <x:c r="B4" s="9" t="s">
        <x:v>26</x:v>
      </x:c>
      <x:c r="C4" s="9" t="s">
        <x:v>27</x:v>
      </x:c>
      <x:c r="D4" s="9" t="s">
        <x:v>28</x:v>
      </x:c>
      <x:c r="E4" s="9" t="s">
        <x:v>29</x:v>
      </x:c>
      <x:c r="F4" s="9" t="s">
        <x:v>30</x:v>
      </x:c>
      <x:c r="G4" s="9" t="s">
        <x:v>31</x:v>
      </x:c>
      <x:c r="H4" s="9" t="s">
        <x:v>32</x:v>
      </x:c>
      <x:c r="I4" s="9" t="s">
        <x:v>33</x:v>
      </x:c>
      <x:c r="J4" s="9" t="s">
        <x:v>34</x:v>
      </x:c>
      <x:c r="K4" s="9" t="s">
        <x:v>35</x:v>
      </x:c>
      <x:c r="L4" s="9" t="s">
        <x:v>36</x:v>
      </x:c>
      <x:c r="M4" s="9" t="s">
        <x:v>37</x:v>
      </x:c>
      <x:c r="N4" s="9" t="s">
        <x:v>38</x:v>
      </x:c>
      <x:c r="O4" s="9" t="s">
        <x:v>39</x:v>
      </x:c>
      <x:c r="P4" s="9" t="s">
        <x:v>40</x:v>
      </x:c>
    </x:row>
    <x:row r="5" ht="45" customHeight="1">
      <x:c r="A5" s="10" t="s">
        <x:v>41</x:v>
      </x:c>
      <x:c r="B5" s="10" t="s">
        <x:v>42</x:v>
      </x:c>
      <x:c r="C5" s="10" t="s">
        <x:v>43</x:v>
      </x:c>
      <x:c r="D5" s="10" t="s">
        <x:v>44</x:v>
      </x:c>
      <x:c r="E5" s="10">
        <x:v>2024</x:v>
      </x:c>
      <x:c r="F5" s="10">
        <x:v>2</x:v>
      </x:c>
      <x:c r="G5" s="10" t="s">
        <x:v>45</x:v>
      </x:c>
      <x:c r="H5" s="10" t="s">
        <x:v>46</x:v>
      </x:c>
      <x:c r="I5" s="10" t="s">
        <x:v>47</x:v>
      </x:c>
      <x:c r="J5" s="10" t="s">
        <x:v>46</x:v>
      </x:c>
      <x:c r="K5" s="10" t="s">
        <x:v>48</x:v>
      </x:c>
      <x:c r="L5" s="10" t="s">
        <x:v>49</x:v>
      </x:c>
      <x:c r="M5" s="10" t="s">
        <x:v>50</x:v>
      </x:c>
      <x:c r="N5" s="10" t="s">
        <x:v>51</x:v>
      </x:c>
      <x:c r="O5" s="10" t="s">
        <x:v>52</x:v>
      </x:c>
      <x:c r="P5" s="10" t="s">
        <x:v>53</x:v>
      </x:c>
    </x:row>
    <x:row r="6" ht="54" customHeight="1">
      <x:c r="A6" s="11">
        <x:v>1</x:v>
      </x:c>
      <x:c r="B6" s="35" t="str">
        <x:v>Manish Sisodia v. Central Bureau of Investigation</x:v>
      </x:c>
      <x:c r="C6" s="12" t="s">
        <x:v>54</x:v>
      </x:c>
      <x:c r="D6" s="12" t="s">
        <x:v>55</x:v>
      </x:c>
      <x:c r="E6" s="12">
        <x:v>2023</x:v>
      </x:c>
      <x:c r="F6" s="12">
        <x:v>2</x:v>
      </x:c>
      <x:c r="G6" s="12" t="s">
        <x:v>45</x:v>
      </x:c>
      <x:c r="H6" s="12" t="s">
        <x:v>46</x:v>
      </x:c>
      <x:c r="I6" s="12" t="s">
        <x:v>56</x:v>
      </x:c>
      <x:c r="J6" s="12" t="s">
        <x:v>57</x:v>
      </x:c>
      <x:c r="K6" s="35" t="str">
        <x:v>s 45 PMLA; Art 21; ss 439, 436A CrPC</x:v>
      </x:c>
      <x:c r="L6" s="35" t="s">
        <x:v>58</x:v>
      </x:c>
      <x:c r="M6" s="35" t="s">
        <x:v>59</x:v>
      </x:c>
      <x:c r="N6" s="35" t="s">
        <x:v>60</x:v>
      </x:c>
      <x:c r="O6" s="12" t="s">
        <x:v>61</x:v>
      </x:c>
      <x:c r="P6" s="16" t="s">
        <x:v>62</x:v>
      </x:c>
    </x:row>
    <x:row r="7" ht="54" customHeight="1">
      <x:c r="A7" s="11">
        <x:v>2</x:v>
      </x:c>
      <x:c r="B7" s="35" t="s">
        <x:v>63</x:v>
      </x:c>
      <x:c r="C7" s="12" t="s">
        <x:v>64</x:v>
      </x:c>
      <x:c r="D7" s="12" t="s">
        <x:v>65</x:v>
      </x:c>
      <x:c r="E7" s="12">
        <x:v>2024</x:v>
      </x:c>
      <x:c r="F7" s="12">
        <x:v>2</x:v>
      </x:c>
      <x:c r="G7" s="12" t="s">
        <x:v>45</x:v>
      </x:c>
      <x:c r="H7" s="12" t="s">
        <x:v>46</x:v>
      </x:c>
      <x:c r="I7" s="12" t="s">
        <x:v>56</x:v>
      </x:c>
      <x:c r="J7" s="12" t="s">
        <x:v>57</x:v>
      </x:c>
      <x:c r="K7" s="35" t="str">
        <x:v>s 45 PMLA; Art 21; s 436A CrPC</x:v>
      </x:c>
      <x:c r="L7" s="35" t="s">
        <x:v>66</x:v>
      </x:c>
      <x:c r="M7" s="35" t="s">
        <x:v>67</x:v>
      </x:c>
      <x:c r="N7" s="35" t="s">
        <x:v>60</x:v>
      </x:c>
      <x:c r="O7" s="12" t="s">
        <x:v>68</x:v>
      </x:c>
      <x:c r="P7" s="16" t="s">
        <x:v>62</x:v>
      </x:c>
    </x:row>
    <x:row r="8" ht="54" customHeight="1">
      <x:c r="A8" s="11">
        <x:v>3</x:v>
      </x:c>
      <x:c r="B8" s="35" t="s">
        <x:v>69</x:v>
      </x:c>
      <x:c r="C8" s="12" t="s">
        <x:v>70</x:v>
      </x:c>
      <x:c r="D8" s="12" t="s">
        <x:v>71</x:v>
      </x:c>
      <x:c r="E8" s="12">
        <x:v>2024</x:v>
      </x:c>
      <x:c r="F8" s="12">
        <x:v>2</x:v>
      </x:c>
      <x:c r="G8" s="12" t="s">
        <x:v>45</x:v>
      </x:c>
      <x:c r="H8" s="12" t="s">
        <x:v>46</x:v>
      </x:c>
      <x:c r="I8" s="12" t="s">
        <x:v>47</x:v>
      </x:c>
      <x:c r="J8" s="12" t="s">
        <x:v>46</x:v>
      </x:c>
      <x:c r="K8" s="35" t="str">
        <x:v>ss 19, 44, 45 PMLA; ss 88, 70(2) CrPC</x:v>
      </x:c>
      <x:c r="L8" s="35" t="str">
        <x:v>Whether a PMLA accused not arrested before cognizance must apply for bail after appearing on summons, and how outstanding warrants should be treated.</x:v>
      </x:c>
      <x:c r="M8" s="35" t="str">
        <x:v>The appeals were allowed and warrants made cancellable on specified conditions; an accused appearing on summons need not seek bail, so anticipatory bail was unnecessary.</x:v>
      </x:c>
      <x:c r="N8" s="35" t="s">
        <x:v>72</x:v>
      </x:c>
      <x:c r="O8" s="12" t="s">
        <x:v>73</x:v>
      </x:c>
      <x:c r="P8" s="16" t="s">
        <x:v>62</x:v>
      </x:c>
    </x:row>
    <x:row r="9" ht="54" customHeight="1">
      <x:c r="A9" s="11">
        <x:v>4</x:v>
      </x:c>
      <x:c r="B9" s="35" t="s">
        <x:v>74</x:v>
      </x:c>
      <x:c r="C9" s="12" t="s">
        <x:v>75</x:v>
      </x:c>
      <x:c r="D9" s="12" t="s">
        <x:v>76</x:v>
      </x:c>
      <x:c r="E9" s="12">
        <x:v>2024</x:v>
      </x:c>
      <x:c r="F9" s="12">
        <x:v>2</x:v>
      </x:c>
      <x:c r="G9" s="12" t="s">
        <x:v>45</x:v>
      </x:c>
      <x:c r="H9" s="12" t="s">
        <x:v>46</x:v>
      </x:c>
      <x:c r="I9" s="12" t="s">
        <x:v>47</x:v>
      </x:c>
      <x:c r="J9" s="12" t="s">
        <x:v>46</x:v>
      </x:c>
      <x:c r="K9" s="35" t="s">
        <x:v>77</x:v>
      </x:c>
      <x:c r="L9" s="35" t="s">
        <x:v>78</x:v>
      </x:c>
      <x:c r="M9" s="35" t="s">
        <x:v>79</x:v>
      </x:c>
      <x:c r="N9" s="35" t="s">
        <x:v>80</x:v>
      </x:c>
      <x:c r="O9" s="12" t="s">
        <x:v>81</x:v>
      </x:c>
      <x:c r="P9" s="16" t="s">
        <x:v>62</x:v>
      </x:c>
    </x:row>
    <x:row r="10" ht="54" customHeight="1">
      <x:c r="A10" s="11">
        <x:v>5</x:v>
      </x:c>
      <x:c r="B10" s="35" t="s">
        <x:v>82</x:v>
      </x:c>
      <x:c r="C10" s="12" t="s">
        <x:v>83</x:v>
      </x:c>
      <x:c r="D10" s="12" t="s">
        <x:v>84</x:v>
      </x:c>
      <x:c r="E10" s="12">
        <x:v>2024</x:v>
      </x:c>
      <x:c r="F10" s="12">
        <x:v>2</x:v>
      </x:c>
      <x:c r="G10" s="12" t="s">
        <x:v>45</x:v>
      </x:c>
      <x:c r="H10" s="12" t="s">
        <x:v>46</x:v>
      </x:c>
      <x:c r="I10" s="12" t="s">
        <x:v>47</x:v>
      </x:c>
      <x:c r="J10" s="12" t="s">
        <x:v>46</x:v>
      </x:c>
      <x:c r="K10" s="35" t="s">
        <x:v>85</x:v>
      </x:c>
      <x:c r="L10" s="35" t="s">
        <x:v>86</x:v>
      </x:c>
      <x:c r="M10" s="35" t="s">
        <x:v>87</x:v>
      </x:c>
      <x:c r="N10" s="35" t="s">
        <x:v>88</x:v>
      </x:c>
      <x:c r="O10" s="12" t="s">
        <x:v>89</x:v>
      </x:c>
      <x:c r="P10" s="16" t="s">
        <x:v>90</x:v>
      </x:c>
    </x:row>
    <x:row r="11" ht="54" customHeight="1">
      <x:c r="A11" s="11">
        <x:v>6</x:v>
      </x:c>
      <x:c r="B11" s="35" t="str">
        <x:v>Prem Prakash v. Union of India through the Directorate of Enforcement</x:v>
      </x:c>
      <x:c r="C11" s="12" t="s">
        <x:v>91</x:v>
      </x:c>
      <x:c r="D11" s="12" t="s">
        <x:v>92</x:v>
      </x:c>
      <x:c r="E11" s="12">
        <x:v>2024</x:v>
      </x:c>
      <x:c r="F11" s="12">
        <x:v>2</x:v>
      </x:c>
      <x:c r="G11" s="12" t="s">
        <x:v>45</x:v>
      </x:c>
      <x:c r="H11" s="12" t="s">
        <x:v>46</x:v>
      </x:c>
      <x:c r="I11" s="12" t="s">
        <x:v>47</x:v>
      </x:c>
      <x:c r="J11" s="12" t="s">
        <x:v>46</x:v>
      </x:c>
      <x:c r="K11" s="35" t="str">
        <x:v>ss 45, 50 PMLA; Arts 20(3), 21</x:v>
      </x:c>
      <x:c r="L11" s="35" t="str">
        <x:v>Whether Section 50 statements and the other prima facie evidence satisfied Section 45 when determining regular bail in a land-transaction laundering case.</x:v>
      </x:c>
      <x:c r="M11" s="35" t="str">
        <x:v>The Court found the Section 45 twin conditions satisfied on the prima facie record, addressed the use of custody-obtained statements and ordered release on bail.</x:v>
      </x:c>
      <x:c r="N11" s="35" t="str">
        <x:v>Vijay Madanlal Choudhary v. Union of India</x:v>
      </x:c>
      <x:c r="O11" s="12" t="s">
        <x:v>93</x:v>
      </x:c>
      <x:c r="P11" s="16" t="s">
        <x:v>90</x:v>
      </x:c>
    </x:row>
    <x:row r="12" ht="54" customHeight="1">
      <x:c r="A12" s="11">
        <x:v>7</x:v>
      </x:c>
      <x:c r="B12" s="35" t="s">
        <x:v>94</x:v>
      </x:c>
      <x:c r="C12" s="12" t="s">
        <x:v>95</x:v>
      </x:c>
      <x:c r="D12" s="12" t="s">
        <x:v>96</x:v>
      </x:c>
      <x:c r="E12" s="12">
        <x:v>2024</x:v>
      </x:c>
      <x:c r="F12" s="12">
        <x:v>2</x:v>
      </x:c>
      <x:c r="G12" s="12" t="s">
        <x:v>45</x:v>
      </x:c>
      <x:c r="H12" s="12" t="s">
        <x:v>46</x:v>
      </x:c>
      <x:c r="I12" s="12" t="s">
        <x:v>47</x:v>
      </x:c>
      <x:c r="J12" s="12" t="s">
        <x:v>46</x:v>
      </x:c>
      <x:c r="K12" s="35" t="s">
        <x:v>77</x:v>
      </x:c>
      <x:c r="L12" s="35" t="s">
        <x:v>97</x:v>
      </x:c>
      <x:c r="M12" s="35" t="s">
        <x:v>98</x:v>
      </x:c>
      <x:c r="N12" s="35" t="s">
        <x:v>99</x:v>
      </x:c>
      <x:c r="O12" s="12" t="s">
        <x:v>100</x:v>
      </x:c>
      <x:c r="P12" s="16" t="s">
        <x:v>90</x:v>
      </x:c>
    </x:row>
    <x:row r="13" ht="54" customHeight="1">
      <x:c r="A13" s="11">
        <x:v>8</x:v>
      </x:c>
      <x:c r="B13" s="35" t="s">
        <x:v>101</x:v>
      </x:c>
      <x:c r="C13" s="12" t="s">
        <x:v>102</x:v>
      </x:c>
      <x:c r="D13" s="12" t="s">
        <x:v>103</x:v>
      </x:c>
      <x:c r="E13" s="12">
        <x:v>2025</x:v>
      </x:c>
      <x:c r="F13" s="12">
        <x:v>2</x:v>
      </x:c>
      <x:c r="G13" s="12" t="s">
        <x:v>45</x:v>
      </x:c>
      <x:c r="H13" s="12" t="s">
        <x:v>57</x:v>
      </x:c>
      <x:c r="I13" s="12" t="s">
        <x:v>56</x:v>
      </x:c>
      <x:c r="J13" s="12" t="s">
        <x:v>46</x:v>
      </x:c>
      <x:c r="K13" s="35" t="str">
        <x:v>Arts 21, 22(2); s 57 CrPC; ss 45, 65 PMLA</x:v>
      </x:c>
      <x:c r="L13" s="35" t="str">
        <x:v>Whether failure to produce a detained PMLA accused before a Magistrate within 24 hours vitiated arrest despite Section 45 bail restrictions.</x:v>
      </x:c>
      <x:c r="M13" s="35" t="str">
        <x:v>Dismissing the ED appeal, the Court upheld bail because unconstitutional detention violated Article 22(2), and Section 45 could not cure the unlawful arrest.</x:v>
      </x:c>
      <x:c r="N13" s="35" t="str">
        <x:v>None cited</x:v>
      </x:c>
      <x:c r="O13" s="12" t="s">
        <x:v>104</x:v>
      </x:c>
      <x:c r="P13" s="16" t="s">
        <x:v>90</x:v>
      </x:c>
    </x:row>
    <x:row r="14" ht="54" customHeight="1">
      <x:c r="A14" s="11">
        <x:v>9</x:v>
      </x:c>
      <x:c r="B14" s="35" t="s">
        <x:v>105</x:v>
      </x:c>
      <x:c r="C14" s="12" t="s">
        <x:v>106</x:v>
      </x:c>
      <x:c r="D14" s="12" t="s">
        <x:v>107</x:v>
      </x:c>
      <x:c r="E14" s="12">
        <x:v>2025</x:v>
      </x:c>
      <x:c r="F14" s="12">
        <x:v>2</x:v>
      </x:c>
      <x:c r="G14" s="12" t="s">
        <x:v>45</x:v>
      </x:c>
      <x:c r="H14" s="12" t="s">
        <x:v>57</x:v>
      </x:c>
      <x:c r="I14" s="12" t="s">
        <x:v>47</x:v>
      </x:c>
      <x:c r="J14" s="12" t="s">
        <x:v>57</x:v>
      </x:c>
      <x:c r="K14" s="35" t="s">
        <x:v>108</x:v>
      </x:c>
      <x:c r="L14" s="35" t="s">
        <x:v>109</x:v>
      </x:c>
      <x:c r="M14" s="35" t="str">
        <x:v>The Court allowed the ED appeal, set aside the bail order for failure to apply Section 45, and directed surrender before fresh High Court consideration.</x:v>
      </x:c>
      <x:c r="N14" s="35" t="s">
        <x:v>60</x:v>
      </x:c>
      <x:c r="O14" s="12" t="s">
        <x:v>110</x:v>
      </x:c>
      <x:c r="P14" s="16" t="s">
        <x:v>111</x:v>
      </x:c>
    </x:row>
    <x:row r="15" ht="54" customHeight="1">
      <x:c r="A15" s="11">
        <x:v>10</x:v>
      </x:c>
      <x:c r="B15" s="35" t="s">
        <x:v>112</x:v>
      </x:c>
      <x:c r="C15" s="12" t="s">
        <x:v>113</x:v>
      </x:c>
      <x:c r="D15" s="12" t="s">
        <x:v>114</x:v>
      </x:c>
      <x:c r="E15" s="12">
        <x:v>2025</x:v>
      </x:c>
      <x:c r="F15" s="12">
        <x:v>2</x:v>
      </x:c>
      <x:c r="G15" s="12" t="s">
        <x:v>45</x:v>
      </x:c>
      <x:c r="H15" s="12" t="s">
        <x:v>46</x:v>
      </x:c>
      <x:c r="I15" s="12" t="s">
        <x:v>47</x:v>
      </x:c>
      <x:c r="J15" s="12" t="s">
        <x:v>46</x:v>
      </x:c>
      <x:c r="K15" s="35" t="s">
        <x:v>77</x:v>
      </x:c>
      <x:c r="L15" s="35" t="s">
        <x:v>115</x:v>
      </x:c>
      <x:c r="M15" s="35" t="str">
        <x:v>Bail was granted because 14 months of custody and examination of only one of 225 witnesses made early completion of trial unlikely under Article 21.</x:v>
      </x:c>
      <x:c r="N15" s="35" t="s">
        <x:v>94</x:v>
      </x:c>
      <x:c r="O15" s="12" t="s">
        <x:v>116</x:v>
      </x:c>
      <x:c r="P15" s="16" t="s">
        <x:v>111</x:v>
      </x:c>
    </x:row>
    <x:row r="16" ht="54" customHeight="1">
      <x:c r="A16" s="11">
        <x:v>11</x:v>
      </x:c>
      <x:c r="B16" s="35" t="s">
        <x:v>117</x:v>
      </x:c>
      <x:c r="C16" s="12" t="s">
        <x:v>118</x:v>
      </x:c>
      <x:c r="D16" s="12" t="s">
        <x:v>119</x:v>
      </x:c>
      <x:c r="E16" s="12">
        <x:v>2025</x:v>
      </x:c>
      <x:c r="F16" s="12">
        <x:v>2</x:v>
      </x:c>
      <x:c r="G16" s="12" t="s">
        <x:v>45</x:v>
      </x:c>
      <x:c r="H16" s="12" t="s">
        <x:v>46</x:v>
      </x:c>
      <x:c r="I16" s="12" t="s">
        <x:v>47</x:v>
      </x:c>
      <x:c r="J16" s="12" t="s">
        <x:v>46</x:v>
      </x:c>
      <x:c r="K16" s="35" t="s">
        <x:v>77</x:v>
      </x:c>
      <x:c r="L16" s="35" t="str">
        <x:v>Whether continued custody was justified where the older accused faced a document-heavy trial unlikely to finish within a reasonable time.</x:v>
      </x:c>
      <x:c r="M16" s="35" t="str">
        <x:v>Conditional bail was granted given over seven months of custody, 66 witnesses, extensive documents, the appellant’s age and the remote prospect of an early trial.</x:v>
      </x:c>
      <x:c r="N16" s="35" t="s">
        <x:v>94</x:v>
      </x:c>
      <x:c r="O16" s="12" t="s">
        <x:v>120</x:v>
      </x:c>
      <x:c r="P16" s="16" t="s">
        <x:v>111</x:v>
      </x:c>
    </x:row>
    <x:row r="17" ht="54" customHeight="1">
      <x:c r="A17" s="11">
        <x:v>12</x:v>
      </x:c>
      <x:c r="B17" s="35" t="s">
        <x:v>121</x:v>
      </x:c>
      <x:c r="C17" s="12" t="s">
        <x:v>122</x:v>
      </x:c>
      <x:c r="D17" s="12" t="s">
        <x:v>123</x:v>
      </x:c>
      <x:c r="E17" s="12">
        <x:v>2026</x:v>
      </x:c>
      <x:c r="F17" s="12">
        <x:v>2</x:v>
      </x:c>
      <x:c r="G17" s="12" t="s">
        <x:v>45</x:v>
      </x:c>
      <x:c r="H17" s="12" t="s">
        <x:v>46</x:v>
      </x:c>
      <x:c r="I17" s="12" t="s">
        <x:v>47</x:v>
      </x:c>
      <x:c r="J17" s="12" t="s">
        <x:v>46</x:v>
      </x:c>
      <x:c r="K17" s="35" t="str">
        <x:v>s 45 PMLA; s 483 BNSS; Art 21</x:v>
      </x:c>
      <x:c r="L17" s="35" t="s">
        <x:v>124</x:v>
      </x:c>
      <x:c r="M17" s="35" t="str">
        <x:v>Bail was allowed because continued detention amid a large, uncommenced trial would undermine Article 21, notwithstanding the gravity of the alleged economic offences.</x:v>
      </x:c>
      <x:c r="N17" s="35" t="str">
        <x:v>V. Senthil Balaji v. Deputy Director, Directorate of Enforcement</x:v>
      </x:c>
      <x:c r="O17" s="12" t="s">
        <x:v>125</x:v>
      </x:c>
      <x:c r="P17" s="16" t="s">
        <x:v>111</x:v>
      </x:c>
    </x:row>
    <x:row r="18" ht="40" customHeight="1">
      <x:c r="A18" s="11">
        <x:v>13</x:v>
      </x:c>
      <x:c r="B18" s="12"/>
      <x:c r="C18" s="12"/>
      <x:c r="D18" s="12"/>
      <x:c r="E18" s="12"/>
      <x:c r="F18" s="12"/>
      <x:c r="G18" s="12"/>
      <x:c r="H18" s="12"/>
      <x:c r="I18" s="12"/>
      <x:c r="J18" s="12"/>
      <x:c r="K18" s="12"/>
      <x:c r="L18" s="12"/>
      <x:c r="M18" s="12"/>
      <x:c r="N18" s="12"/>
      <x:c r="O18" s="12"/>
      <x:c r="P18" s="12"/>
    </x:row>
    <x:row r="19" ht="40" customHeight="1">
      <x:c r="A19" s="11">
        <x:v>14</x:v>
      </x:c>
      <x:c r="B19" s="12"/>
      <x:c r="C19" s="12"/>
      <x:c r="D19" s="12"/>
      <x:c r="E19" s="12"/>
      <x:c r="F19" s="12"/>
      <x:c r="G19" s="12"/>
      <x:c r="H19" s="12"/>
      <x:c r="I19" s="12"/>
      <x:c r="J19" s="12"/>
      <x:c r="K19" s="12"/>
      <x:c r="L19" s="12"/>
      <x:c r="M19" s="12"/>
      <x:c r="N19" s="12"/>
      <x:c r="O19" s="12"/>
      <x:c r="P19" s="12"/>
    </x:row>
    <x:row r="20" ht="40" customHeight="1">
      <x:c r="A20" s="11">
        <x:v>15</x:v>
      </x:c>
      <x:c r="B20" s="12"/>
      <x:c r="C20" s="12"/>
      <x:c r="D20" s="12"/>
      <x:c r="E20" s="12"/>
      <x:c r="F20" s="12"/>
      <x:c r="G20" s="12"/>
      <x:c r="H20" s="12"/>
      <x:c r="I20" s="12"/>
      <x:c r="J20" s="12"/>
      <x:c r="K20" s="12"/>
      <x:c r="L20" s="12"/>
      <x:c r="M20" s="12"/>
      <x:c r="N20" s="12"/>
      <x:c r="O20" s="12"/>
      <x:c r="P20" s="12"/>
    </x:row>
    <x:row r="21" ht="40" customHeight="1">
      <x:c r="A21" s="11">
        <x:v>16</x:v>
      </x:c>
      <x:c r="B21" s="12"/>
      <x:c r="C21" s="12"/>
      <x:c r="D21" s="12"/>
      <x:c r="E21" s="12"/>
      <x:c r="F21" s="12"/>
      <x:c r="G21" s="12"/>
      <x:c r="H21" s="12"/>
      <x:c r="I21" s="12"/>
      <x:c r="J21" s="12"/>
      <x:c r="K21" s="12"/>
      <x:c r="L21" s="12"/>
      <x:c r="M21" s="12"/>
      <x:c r="N21" s="12"/>
      <x:c r="O21" s="12"/>
      <x:c r="P21" s="12"/>
    </x:row>
    <x:row r="22" ht="40" customHeight="1">
      <x:c r="A22" s="11">
        <x:v>17</x:v>
      </x:c>
      <x:c r="B22" s="12"/>
      <x:c r="C22" s="12"/>
      <x:c r="D22" s="12"/>
      <x:c r="E22" s="12"/>
      <x:c r="F22" s="12"/>
      <x:c r="G22" s="12"/>
      <x:c r="H22" s="12"/>
      <x:c r="I22" s="12"/>
      <x:c r="J22" s="12"/>
      <x:c r="K22" s="12"/>
      <x:c r="L22" s="12"/>
      <x:c r="M22" s="12"/>
      <x:c r="N22" s="12"/>
      <x:c r="O22" s="12"/>
      <x:c r="P22" s="12"/>
    </x:row>
    <x:row r="23" ht="40" customHeight="1">
      <x:c r="A23" s="11">
        <x:v>18</x:v>
      </x:c>
      <x:c r="B23" s="12"/>
      <x:c r="C23" s="12"/>
      <x:c r="D23" s="12"/>
      <x:c r="E23" s="12"/>
      <x:c r="F23" s="12"/>
      <x:c r="G23" s="12"/>
      <x:c r="H23" s="12"/>
      <x:c r="I23" s="12"/>
      <x:c r="J23" s="12"/>
      <x:c r="K23" s="12"/>
      <x:c r="L23" s="12"/>
      <x:c r="M23" s="12"/>
      <x:c r="N23" s="12"/>
      <x:c r="O23" s="12"/>
      <x:c r="P23" s="12"/>
    </x:row>
    <x:row r="24" ht="40" customHeight="1">
      <x:c r="A24" s="11">
        <x:v>19</x:v>
      </x:c>
      <x:c r="B24" s="12"/>
      <x:c r="C24" s="12"/>
      <x:c r="D24" s="12"/>
      <x:c r="E24" s="12"/>
      <x:c r="F24" s="12"/>
      <x:c r="G24" s="12"/>
      <x:c r="H24" s="12"/>
      <x:c r="I24" s="12"/>
      <x:c r="J24" s="12"/>
      <x:c r="K24" s="12"/>
      <x:c r="L24" s="12"/>
      <x:c r="M24" s="12"/>
      <x:c r="N24" s="12"/>
      <x:c r="O24" s="12"/>
      <x:c r="P24" s="12"/>
    </x:row>
    <x:row r="25" ht="40" customHeight="1">
      <x:c r="A25" s="11">
        <x:v>20</x:v>
      </x:c>
      <x:c r="B25" s="12"/>
      <x:c r="C25" s="12"/>
      <x:c r="D25" s="12"/>
      <x:c r="E25" s="12"/>
      <x:c r="F25" s="12"/>
      <x:c r="G25" s="12"/>
      <x:c r="H25" s="12"/>
      <x:c r="I25" s="12"/>
      <x:c r="J25" s="12"/>
      <x:c r="K25" s="12"/>
      <x:c r="L25" s="12"/>
      <x:c r="M25" s="12"/>
      <x:c r="N25" s="12"/>
      <x:c r="O25" s="12"/>
      <x:c r="P25" s="12"/>
    </x:row>
  </x:sheetData>
  <x:dataValidations count="1">
    <x:dataValidation type="whole" showErrorMessage="1" errorTitle="Year" error="Enter a year between 2021 and 2026 as a number." sqref="E6:E25">
      <x:formula1>2021</x:formula1>
      <x:formula2>2026</x:formula2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baseColWidth="10" defaultColWidth="8.83203125" defaultRowHeight="15"/>
  <x:cols>
    <x:col min="1" max="1" width="26" customWidth="1"/>
    <x:col min="2" max="2" width="12" customWidth="1"/>
  </x:cols>
  <x:sheetData>
    <x:row r="1" ht="16">
      <x:c r="A1" s="13" t="s">
        <x:v>126</x:v>
      </x:c>
    </x:row>
    <x:row r="2">
      <x:c r="A2" s="8" t="s">
        <x:v>127</x:v>
      </x:c>
    </x:row>
    <x:row r="4">
      <x:c r="A4" s="14" t="s">
        <x:v>29</x:v>
      </x:c>
      <x:c r="B4" s="14" t="s">
        <x:v>128</x:v>
      </x:c>
    </x:row>
    <x:row r="5">
      <x:c r="A5" s="11">
        <x:v>2021</x:v>
      </x:c>
      <x:c r="B5" s="11" t="n">
        <x:f>COUNTIF(Data!E$6:E$25,A5)</x:f>
        <x:v>0</x:v>
      </x:c>
    </x:row>
    <x:row r="6">
      <x:c r="A6" s="11">
        <x:v>2022</x:v>
      </x:c>
      <x:c r="B6" s="11" t="n">
        <x:f>COUNTIF(Data!E$6:E$25,A6)</x:f>
        <x:v>0</x:v>
      </x:c>
    </x:row>
    <x:row r="7">
      <x:c r="A7" s="11">
        <x:v>2023</x:v>
      </x:c>
      <x:c r="B7" s="11" t="n">
        <x:f>COUNTIF(Data!E$6:E$25,A7)</x:f>
        <x:v>1</x:v>
      </x:c>
    </x:row>
    <x:row r="8">
      <x:c r="A8" s="11">
        <x:v>2024</x:v>
      </x:c>
      <x:c r="B8" s="11" t="n">
        <x:f>COUNTIF(Data!E$6:E$25,A8)</x:f>
        <x:v>6</x:v>
      </x:c>
    </x:row>
    <x:row r="9">
      <x:c r="A9" s="11">
        <x:v>2025</x:v>
      </x:c>
      <x:c r="B9" s="11" t="n">
        <x:f>COUNTIF(Data!E$6:E$25,A9)</x:f>
        <x:v>4</x:v>
      </x:c>
    </x:row>
    <x:row r="10">
      <x:c r="A10" s="11">
        <x:v>2026</x:v>
      </x:c>
      <x:c r="B10" s="11" t="n">
        <x:f>COUNTIF(Data!E$6:E$25,A10)</x:f>
        <x:v>1</x:v>
      </x:c>
    </x:row>
    <x:row r="12">
      <x:c r="A12" s="14" t="s">
        <x:v>33</x:v>
      </x:c>
      <x:c r="B12" s="14" t="s">
        <x:v>128</x:v>
      </x:c>
    </x:row>
    <x:row r="13">
      <x:c r="A13" s="11" t="s">
        <x:v>47</x:v>
      </x:c>
      <x:c r="B13" s="11" t="n">
        <x:f>COUNTIF(Data!I$6:I$25,A13)</x:f>
        <x:v>9</x:v>
      </x:c>
    </x:row>
    <x:row r="14">
      <x:c r="A14" s="11" t="s">
        <x:v>56</x:v>
      </x:c>
      <x:c r="B14" s="11" t="n">
        <x:f>COUNTIF(Data!I$6:I$25,A14)</x:f>
        <x:v>3</x:v>
      </x:c>
    </x:row>
    <x:row r="15">
      <x:c r="A15" s="11" t="s">
        <x:v>129</x:v>
      </x:c>
      <x:c r="B15" s="11" t="n">
        <x:f>COUNTIF(Data!I$6:I$25,A15)</x:f>
        <x:v>0</x:v>
      </x:c>
    </x:row>
    <x:row r="16">
      <x:c r="A16" s="11" t="s">
        <x:v>130</x:v>
      </x:c>
      <x:c r="B16" s="11" t="n">
        <x:f>COUNTIF(Data!I$6:I$25,A16)</x:f>
        <x:v>0</x:v>
      </x:c>
    </x:row>
    <x:row r="18">
      <x:c r="A18" s="14" t="s">
        <x:v>32</x:v>
      </x:c>
      <x:c r="B18" s="14" t="s">
        <x:v>128</x:v>
      </x:c>
    </x:row>
    <x:row r="19">
      <x:c r="A19" s="11" t="s">
        <x:v>46</x:v>
      </x:c>
      <x:c r="B19" s="11" t="n">
        <x:f>COUNTIF(Data!H$6:H$25,A19)</x:f>
        <x:v>10</x:v>
      </x:c>
    </x:row>
    <x:row r="20">
      <x:c r="A20" s="11" t="s">
        <x:v>131</x:v>
      </x:c>
      <x:c r="B20" s="11" t="n">
        <x:f>COUNTIF(Data!H$6:H$25,A20)</x:f>
        <x:v>0</x:v>
      </x:c>
    </x:row>
    <x:row r="21">
      <x:c r="A21" s="11" t="s">
        <x:v>57</x:v>
      </x:c>
      <x:c r="B21" s="11" t="n">
        <x:f>COUNTIF(Data!H$6:H$25,A21)</x:f>
        <x:v>2</x:v>
      </x:c>
    </x:row>
    <x:row r="22">
      <x:c r="A22" s="11" t="s">
        <x:v>132</x:v>
      </x:c>
      <x:c r="B22" s="11" t="n">
        <x:f>COUNTIF(Data!H$6:H$25,A22)</x:f>
        <x:v>0</x:v>
      </x:c>
    </x:row>
    <x:row r="23">
      <x:c r="A23" s="11" t="s">
        <x:v>130</x:v>
      </x:c>
      <x:c r="B23" s="11" t="n">
        <x:f>COUNTIF(Data!H$6:H$25,A23)</x:f>
        <x:v>0</x:v>
      </x:c>
    </x:row>
    <x:row r="25">
      <x:c r="A25" s="14" t="s">
        <x:v>34</x:v>
      </x:c>
      <x:c r="B25" s="14" t="s">
        <x:v>128</x:v>
      </x:c>
    </x:row>
    <x:row r="26">
      <x:c r="A26" s="11" t="s">
        <x:v>46</x:v>
      </x:c>
      <x:c r="B26" s="11" t="n">
        <x:f>COUNTIF(Data!J$6:J$25,A26)</x:f>
        <x:v>9</x:v>
      </x:c>
    </x:row>
    <x:row r="27">
      <x:c r="A27" s="11" t="s">
        <x:v>131</x:v>
      </x:c>
      <x:c r="B27" s="11" t="n">
        <x:f>COUNTIF(Data!J$6:J$25,A27)</x:f>
        <x:v>0</x:v>
      </x:c>
    </x:row>
    <x:row r="28">
      <x:c r="A28" s="11" t="s">
        <x:v>57</x:v>
      </x:c>
      <x:c r="B28" s="11" t="n">
        <x:f>COUNTIF(Data!J$6:J$25,A28)</x:f>
        <x:v>3</x:v>
      </x:c>
    </x:row>
    <x:row r="29">
      <x:c r="A29" s="11" t="s">
        <x:v>132</x:v>
      </x:c>
      <x:c r="B29" s="11" t="n">
        <x:f>COUNTIF(Data!J$6:J$25,A29)</x:f>
        <x:v>0</x:v>
      </x:c>
    </x:row>
    <x:row r="30">
      <x:c r="A30" s="11" t="s">
        <x:v>133</x:v>
      </x:c>
      <x:c r="B30" s="11" t="n">
        <x:f>COUNTIF(Data!J$6:J$25,A30)</x:f>
        <x:v>0</x:v>
      </x:c>
    </x:row>
    <x:row r="32">
      <x:c r="A32" s="14" t="s">
        <x:v>31</x:v>
      </x:c>
      <x:c r="B32" s="14" t="s">
        <x:v>128</x:v>
      </x:c>
    </x:row>
    <x:row r="33">
      <x:c r="A33" s="11" t="s">
        <x:v>134</x:v>
      </x:c>
      <x:c r="B33" s="11" t="n">
        <x:f>COUNTIF(Data!G$6:G$25,A33)</x:f>
        <x:v>0</x:v>
      </x:c>
    </x:row>
    <x:row r="34">
      <x:c r="A34" s="11" t="s">
        <x:v>135</x:v>
      </x:c>
      <x:c r="B34" s="11" t="n">
        <x:f>COUNTIF(Data!G$6:G$25,A34)</x:f>
        <x:v>0</x:v>
      </x:c>
    </x:row>
    <x:row r="35">
      <x:c r="A35" s="11" t="s">
        <x:v>45</x:v>
      </x:c>
      <x:c r="B35" s="11" t="n">
        <x:f>COUNTIF(Data!G$6:G$25,A35)</x:f>
        <x:v>12</x:v>
      </x:c>
    </x:row>
    <x:row r="36">
      <x:c r="A36" s="11" t="s">
        <x:v>136</x:v>
      </x:c>
      <x:c r="B36" s="11" t="n">
        <x:f>COUNTIF(Data!G$6:G$25,A36)</x:f>
        <x:v>0</x:v>
      </x:c>
    </x:row>
    <x:row r="37">
      <x:c r="A37" s="11" t="s">
        <x:v>130</x:v>
      </x:c>
      <x:c r="B37" s="11" t="n">
        <x:f>COUNTIF(Data!G$6:G$25,A37)</x:f>
        <x:v>0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baseColWidth="10" defaultColWidth="8.83203125" defaultRowHeight="15"/>
  <x:cols>
    <x:col min="1" max="4" width="26" customWidth="1"/>
  </x:cols>
  <x:sheetData>
    <x:row r="1" ht="16">
      <x:c r="A1" s="13" t="s">
        <x:v>137</x:v>
      </x:c>
    </x:row>
    <x:row r="2">
      <x:c r="A2" s="14" t="s">
        <x:v>31</x:v>
      </x:c>
      <x:c r="B2" s="14" t="s">
        <x:v>32</x:v>
      </x:c>
      <x:c r="C2" s="14" t="s">
        <x:v>33</x:v>
      </x:c>
      <x:c r="D2" s="14" t="s">
        <x:v>34</x:v>
      </x:c>
    </x:row>
    <x:row r="3">
      <x:c r="A3" s="11" t="s">
        <x:v>134</x:v>
      </x:c>
      <x:c r="B3" s="11" t="s">
        <x:v>46</x:v>
      </x:c>
      <x:c r="C3" s="11" t="s">
        <x:v>47</x:v>
      </x:c>
      <x:c r="D3" s="11" t="s">
        <x:v>46</x:v>
      </x:c>
    </x:row>
    <x:row r="4">
      <x:c r="A4" s="11" t="s">
        <x:v>135</x:v>
      </x:c>
      <x:c r="B4" s="11" t="s">
        <x:v>131</x:v>
      </x:c>
      <x:c r="C4" s="11" t="s">
        <x:v>56</x:v>
      </x:c>
      <x:c r="D4" s="11" t="s">
        <x:v>131</x:v>
      </x:c>
    </x:row>
    <x:row r="5">
      <x:c r="A5" s="11" t="s">
        <x:v>45</x:v>
      </x:c>
      <x:c r="B5" s="11" t="s">
        <x:v>57</x:v>
      </x:c>
      <x:c r="C5" s="11" t="s">
        <x:v>129</x:v>
      </x:c>
      <x:c r="D5" s="11" t="s">
        <x:v>57</x:v>
      </x:c>
    </x:row>
    <x:row r="6">
      <x:c r="A6" s="11" t="s">
        <x:v>136</x:v>
      </x:c>
      <x:c r="B6" s="11" t="s">
        <x:v>132</x:v>
      </x:c>
      <x:c r="C6" s="11" t="s">
        <x:v>130</x:v>
      </x:c>
      <x:c r="D6" s="11" t="s">
        <x:v>132</x:v>
      </x:c>
    </x:row>
    <x:row r="7">
      <x:c r="A7" s="11" t="s">
        <x:v>130</x:v>
      </x:c>
      <x:c r="B7" s="11" t="s">
        <x:v>130</x:v>
      </x:c>
      <x:c r="D7" s="11" t="s">
        <x:v>133</x:v>
      </x:c>
    </x:row>
  </x:sheetData>
  <x:pageMargins left="0.7" right="0.7" top="0.75" bottom="0.75" header="0.3" footer="0.3"/>
</x:worksheet>
</file>